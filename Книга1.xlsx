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<sst xmlns="http://schemas.openxmlformats.org/spreadsheetml/2006/main" count="16" uniqueCount="16">
  <si>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А</t>
  </si>
  <si>
    <t>В</t>
  </si>
  <si>
    <t>М</t>
  </si>
  <si>
    <t>x=(b-a)*zi+a</t>
  </si>
  <si>
    <t>x=1/l*ln(zi)</t>
  </si>
  <si>
    <t>x=-2*b*ln(zi)</t>
  </si>
  <si>
    <t>d=3</t>
  </si>
  <si>
    <t>u=1</t>
  </si>
  <si>
    <t>y-1</t>
  </si>
  <si>
    <t>y</t>
  </si>
  <si>
    <t>zi</t>
  </si>
  <si>
    <t>[a,b]=[3,7]</t>
  </si>
  <si>
    <t>l=8</t>
  </si>
  <si>
    <t>b=3</t>
  </si>
  <si>
    <t>x0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</si>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</sst>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2"/>
  <sheetViews>
    <sheetView tabSelected="1" workbookViewId="0">
      <selection activeCell="S22" sqref="S22"/>
    </sheetView>
  </sheetViews>
  <sheetFormatPr defaultColWidth="9.14285714285714" defaultRowHeight="15"/>
  <cols>
    <col min="2" max="4" width="12.8571428571429"/>
    <col min="9" max="11" width="12.8571428571429"/>
    <col min="14" max="14" width="12.8571428571429"/>
    <col min="16" max="16" width="14"/>
  </cols>
  <sheetData>
    <row r="1" spans="1:17">
      <c r="A1" t="s">
        <v>0</v>
      </c>
      <c r="B1">
        <v>4.5</v>
      </c>
      <c r="C1" t="s">
        <v>1</v>
      </c>
      <c r="D1">
        <v>23</v>
      </c>
      <c r="E1" t="s">
        <v>2</v>
      </c>
      <c r="F1">
        <v>87</v>
      </c>
      <c r="I1" t="s">
        <v>3</v>
      </c>
      <c r="J1" t="s">
        <v>4</v>
      </c>
      <c r="K1" t="s">
        <v>5</v>
      </c>
      <c r="P1" t="s">
        <v>6</v>
      </c>
      <c r="Q1" t="s">
        <v>7</v>
      </c>
    </row>
    <row r="2" spans="2:17">
      <c r="B2" t="s">
        <v>8</v>
      </c>
      <c r="C2" t="s">
        <v>9</v>
      </c>
      <c r="D2" t="s">
        <v>10</v>
      </c>
      <c r="I2" t="s">
        <v>11</v>
      </c>
      <c r="J2" t="s">
        <v>12</v>
      </c>
      <c r="K2" t="s">
        <v>13</v>
      </c>
      <c r="L2"/>
      <c r="M2">
        <v>6.7</v>
      </c>
      <c r="N2">
        <v>24</v>
      </c>
      <c r="O2">
        <v>88</v>
      </c>
      <c r="P2" t="s">
        <v>14</v>
      </c>
      <c r="Q2" t="s">
        <v>15</v>
      </c>
    </row>
    <row r="3" spans="1:17">
      <c r="A3">
        <v>1</v>
      </c>
      <c r="B3">
        <v>3</v>
      </c>
      <c r="C3">
        <f>MOD(B$1*B3+D$1,F$1)</f>
        <v>36.5</v>
      </c>
      <c r="D3">
        <f>C3/(F$1-1)</f>
        <v>0.424418604651163</v>
      </c>
      <c r="I3">
        <f>(7-3)*D3+3</f>
        <v>4.69767441860465</v>
      </c>
      <c r="J3">
        <f>-(LN((D3)/8))</f>
        <v>2.9364765773449</v>
      </c>
      <c r="K3">
        <f>-2*3*LN(D3)</f>
        <v>5.14221021399037</v>
      </c>
      <c r="M3">
        <v>4</v>
      </c>
      <c r="N3">
        <f>MOD(M$2*M$3+N$2,O$2)</f>
        <v>50.8</v>
      </c>
      <c r="O3">
        <f>N3/(O$2-1)</f>
        <v>0.583908045977012</v>
      </c>
      <c r="P3">
        <f>(SUM(O3:O16)-(COUNT(O3:O16)/2))/(COUNT(O3:O16)/12)</f>
        <v>-0.0576173986457551</v>
      </c>
      <c r="Q3">
        <f>3*P3+1</f>
        <v>0.827147804062735</v>
      </c>
    </row>
    <row r="4" spans="1:15">
      <c r="A4">
        <v>2</v>
      </c>
      <c r="B4">
        <f>C3</f>
        <v>36.5</v>
      </c>
      <c r="C4">
        <f>MOD(B$1*B4+D$1,F$1)</f>
        <v>13.25</v>
      </c>
      <c r="D4">
        <f t="shared" ref="D4:D35" si="0">C4/(F$1-1)</f>
        <v>0.15406976744186</v>
      </c>
      <c r="I4">
        <f t="shared" ref="I4:I35" si="1">(7-3)*D4+3</f>
        <v>3.61627906976744</v>
      </c>
      <c r="J4">
        <f t="shared" ref="J4:J35" si="2">-(LN((D4)/8))</f>
        <v>3.94979128550111</v>
      </c>
      <c r="K4">
        <f t="shared" ref="K4:K35" si="3">-2*3*LN(D4)</f>
        <v>11.2220984629277</v>
      </c>
      <c r="M4">
        <f t="shared" ref="M4:M17" si="4">N3</f>
        <v>50.8</v>
      </c>
      <c r="N4">
        <f>MOD(M$2*M4+N$2,O$2)</f>
        <v>12.36</v>
      </c>
      <c r="O4">
        <f>N4/(O$2-1)</f>
        <v>0.142068965517242</v>
      </c>
    </row>
    <row r="5" spans="1:15">
      <c r="A5">
        <v>3</v>
      </c>
      <c r="B5">
        <f t="shared" ref="B5:B36" si="5">C4</f>
        <v>13.25</v>
      </c>
      <c r="C5">
        <f t="shared" ref="C5:C36" si="6">MOD(B$1*B5+D$1,F$1)</f>
        <v>82.625</v>
      </c>
      <c r="D5">
        <f t="shared" si="0"/>
        <v>0.960755813953488</v>
      </c>
      <c r="I5">
        <f t="shared" si="1"/>
        <v>6.84302325581395</v>
      </c>
      <c r="J5">
        <f t="shared" si="2"/>
        <v>2.11947653976149</v>
      </c>
      <c r="K5">
        <f t="shared" si="3"/>
        <v>0.240209988489944</v>
      </c>
      <c r="M5">
        <f t="shared" si="4"/>
        <v>12.36</v>
      </c>
      <c r="N5">
        <f>MOD(M$2*M5+N$2,O$2)</f>
        <v>18.8120000000001</v>
      </c>
      <c r="O5">
        <f>N5/(O$2-1)</f>
        <v>0.216229885057472</v>
      </c>
    </row>
    <row r="6" spans="1:15">
      <c r="A6">
        <v>4</v>
      </c>
      <c r="B6">
        <f t="shared" si="5"/>
        <v>82.625</v>
      </c>
      <c r="C6">
        <f t="shared" si="6"/>
        <v>46.8125</v>
      </c>
      <c r="D6">
        <f t="shared" si="0"/>
        <v>0.544331395348837</v>
      </c>
      <c r="I6">
        <f t="shared" si="1"/>
        <v>5.17732558139535</v>
      </c>
      <c r="J6">
        <f t="shared" si="2"/>
        <v>2.68763857665591</v>
      </c>
      <c r="K6">
        <f t="shared" si="3"/>
        <v>3.64918220985642</v>
      </c>
      <c r="M6">
        <f t="shared" si="4"/>
        <v>18.8120000000001</v>
      </c>
      <c r="N6">
        <f>MOD(M$2*M6+N$2,O$2)</f>
        <v>62.0404000000007</v>
      </c>
      <c r="O6">
        <f>N6/(O$2-1)</f>
        <v>0.713108045977019</v>
      </c>
    </row>
    <row r="7" spans="1:15">
      <c r="A7">
        <v>5</v>
      </c>
      <c r="B7">
        <f t="shared" si="5"/>
        <v>46.8125</v>
      </c>
      <c r="C7">
        <f t="shared" si="6"/>
        <v>59.65625</v>
      </c>
      <c r="D7">
        <f t="shared" si="0"/>
        <v>0.693677325581395</v>
      </c>
      <c r="I7">
        <f t="shared" si="1"/>
        <v>5.77470930232558</v>
      </c>
      <c r="J7">
        <f t="shared" si="2"/>
        <v>2.44518991700732</v>
      </c>
      <c r="K7">
        <f t="shared" si="3"/>
        <v>2.19449025196492</v>
      </c>
      <c r="M7">
        <f t="shared" si="4"/>
        <v>62.0404000000007</v>
      </c>
      <c r="N7">
        <f>MOD(M$2*M7+N$2,O$2)</f>
        <v>87.6706800000044</v>
      </c>
      <c r="O7">
        <f>N7/(O$2-1)</f>
        <v>1.00770896551729</v>
      </c>
    </row>
    <row r="8" spans="1:15">
      <c r="A8">
        <v>6</v>
      </c>
      <c r="B8">
        <f t="shared" si="5"/>
        <v>59.65625</v>
      </c>
      <c r="C8">
        <f t="shared" si="6"/>
        <v>30.453125</v>
      </c>
      <c r="D8">
        <f t="shared" si="0"/>
        <v>0.354106104651163</v>
      </c>
      <c r="I8">
        <f t="shared" si="1"/>
        <v>4.41642441860465</v>
      </c>
      <c r="J8">
        <f t="shared" si="2"/>
        <v>3.11760022178545</v>
      </c>
      <c r="K8">
        <f t="shared" si="3"/>
        <v>6.22895208063371</v>
      </c>
      <c r="M8">
        <f t="shared" si="4"/>
        <v>87.6706800000044</v>
      </c>
      <c r="N8">
        <f>MOD(M$2*M8+N$2,O$2)</f>
        <v>83.3935560000298</v>
      </c>
      <c r="O8">
        <f>N8/(O$2-1)</f>
        <v>0.958546620689997</v>
      </c>
    </row>
    <row r="9" spans="1:15">
      <c r="A9">
        <v>7</v>
      </c>
      <c r="B9">
        <f t="shared" si="5"/>
        <v>30.453125</v>
      </c>
      <c r="C9">
        <f t="shared" si="6"/>
        <v>73.0390625</v>
      </c>
      <c r="D9">
        <f t="shared" si="0"/>
        <v>0.849291424418605</v>
      </c>
      <c r="I9">
        <f t="shared" si="1"/>
        <v>6.39716569767442</v>
      </c>
      <c r="J9">
        <f t="shared" si="2"/>
        <v>2.24279443716164</v>
      </c>
      <c r="K9">
        <f t="shared" si="3"/>
        <v>0.980117372890856</v>
      </c>
      <c r="M9">
        <f t="shared" si="4"/>
        <v>83.3935560000298</v>
      </c>
      <c r="N9">
        <f>MOD(M$2*M9+N$2,O$2)</f>
        <v>54.7368252001995</v>
      </c>
      <c r="O9">
        <f>N9/(O$2-1)</f>
        <v>0.629158910347121</v>
      </c>
    </row>
    <row r="10" spans="1:15">
      <c r="A10">
        <v>8</v>
      </c>
      <c r="B10">
        <f t="shared" si="5"/>
        <v>73.0390625</v>
      </c>
      <c r="C10">
        <f t="shared" si="6"/>
        <v>3.67578125</v>
      </c>
      <c r="D10">
        <f t="shared" si="0"/>
        <v>0.0427416424418605</v>
      </c>
      <c r="I10">
        <f t="shared" si="1"/>
        <v>3.17096656976744</v>
      </c>
      <c r="J10">
        <f t="shared" si="2"/>
        <v>5.23202314282753</v>
      </c>
      <c r="K10">
        <f t="shared" si="3"/>
        <v>18.9154896068861</v>
      </c>
      <c r="M10">
        <f t="shared" si="4"/>
        <v>54.7368252001995</v>
      </c>
      <c r="N10">
        <f>MOD(M$2*M10+N$2,O$2)</f>
        <v>38.7367288413368</v>
      </c>
      <c r="O10">
        <f>N10/(O$2-1)</f>
        <v>0.445249756796975</v>
      </c>
    </row>
    <row r="11" spans="1:15">
      <c r="A11">
        <v>9</v>
      </c>
      <c r="B11">
        <f t="shared" si="5"/>
        <v>3.67578125</v>
      </c>
      <c r="C11">
        <f t="shared" si="6"/>
        <v>39.541015625</v>
      </c>
      <c r="D11">
        <f t="shared" si="0"/>
        <v>0.459779251453488</v>
      </c>
      <c r="I11">
        <f t="shared" si="1"/>
        <v>4.83911700581395</v>
      </c>
      <c r="J11">
        <f t="shared" si="2"/>
        <v>2.85645033450659</v>
      </c>
      <c r="K11">
        <f t="shared" si="3"/>
        <v>4.66205275696052</v>
      </c>
      <c r="M11">
        <f t="shared" si="4"/>
        <v>38.7367288413368</v>
      </c>
      <c r="N11">
        <f>MOD(M$2*M11+N$2,O$2)</f>
        <v>19.5360832369566</v>
      </c>
      <c r="O11">
        <f>N11/(O$2-1)</f>
        <v>0.224552680884558</v>
      </c>
    </row>
    <row r="12" spans="1:15">
      <c r="A12">
        <v>10</v>
      </c>
      <c r="B12">
        <f t="shared" si="5"/>
        <v>39.541015625</v>
      </c>
      <c r="C12">
        <f t="shared" si="6"/>
        <v>26.9345703125</v>
      </c>
      <c r="D12">
        <f t="shared" si="0"/>
        <v>0.313192678052326</v>
      </c>
      <c r="I12">
        <f t="shared" si="1"/>
        <v>4.2527707122093</v>
      </c>
      <c r="J12">
        <f t="shared" si="2"/>
        <v>3.24037823468473</v>
      </c>
      <c r="K12">
        <f t="shared" si="3"/>
        <v>6.96562015802936</v>
      </c>
      <c r="M12">
        <f t="shared" si="4"/>
        <v>19.5360832369566</v>
      </c>
      <c r="N12">
        <f>MOD(M$2*M12+N$2,O$2)</f>
        <v>66.8917576876091</v>
      </c>
      <c r="O12">
        <f>N12/(O$2-1)</f>
        <v>0.768870778018496</v>
      </c>
    </row>
    <row r="13" spans="1:15">
      <c r="A13">
        <v>11</v>
      </c>
      <c r="B13">
        <f t="shared" si="5"/>
        <v>26.9345703125</v>
      </c>
      <c r="C13">
        <f t="shared" si="6"/>
        <v>57.20556640625</v>
      </c>
      <c r="D13">
        <f t="shared" si="0"/>
        <v>0.665181004723837</v>
      </c>
      <c r="I13">
        <f t="shared" si="1"/>
        <v>5.66072401889535</v>
      </c>
      <c r="J13">
        <f t="shared" si="2"/>
        <v>2.48713762948779</v>
      </c>
      <c r="K13">
        <f t="shared" si="3"/>
        <v>2.44617652684771</v>
      </c>
      <c r="M13">
        <f t="shared" si="4"/>
        <v>66.8917576876091</v>
      </c>
      <c r="N13">
        <f>MOD(M$2*M13+N$2,O$2)</f>
        <v>32.1747765069812</v>
      </c>
      <c r="O13">
        <f>N13/(O$2-1)</f>
        <v>0.369825017321623</v>
      </c>
    </row>
    <row r="14" spans="1:15">
      <c r="A14">
        <v>12</v>
      </c>
      <c r="B14">
        <f t="shared" si="5"/>
        <v>57.20556640625</v>
      </c>
      <c r="C14">
        <f t="shared" si="6"/>
        <v>19.425048828125</v>
      </c>
      <c r="D14">
        <f t="shared" si="0"/>
        <v>0.225872660792151</v>
      </c>
      <c r="I14">
        <f t="shared" si="1"/>
        <v>3.9034906431686</v>
      </c>
      <c r="J14">
        <f t="shared" si="2"/>
        <v>3.5672254280084</v>
      </c>
      <c r="K14">
        <f t="shared" si="3"/>
        <v>8.9267033179714</v>
      </c>
      <c r="M14">
        <f t="shared" si="4"/>
        <v>32.1747765069812</v>
      </c>
      <c r="N14">
        <f>MOD(M$2*M14+N$2,O$2)</f>
        <v>63.5710025967739</v>
      </c>
      <c r="O14">
        <f>N14/(O$2-1)</f>
        <v>0.730701179273263</v>
      </c>
    </row>
    <row r="15" spans="1:15">
      <c r="A15">
        <v>13</v>
      </c>
      <c r="B15">
        <f t="shared" si="5"/>
        <v>19.425048828125</v>
      </c>
      <c r="C15">
        <f t="shared" si="6"/>
        <v>23.4127197265625</v>
      </c>
      <c r="D15">
        <f t="shared" si="0"/>
        <v>0.272240927053052</v>
      </c>
      <c r="I15">
        <f t="shared" si="1"/>
        <v>4.08896370821221</v>
      </c>
      <c r="J15">
        <f t="shared" si="2"/>
        <v>3.3805093851965</v>
      </c>
      <c r="K15">
        <f t="shared" si="3"/>
        <v>7.80640706109997</v>
      </c>
      <c r="M15">
        <f t="shared" si="4"/>
        <v>63.5710025967739</v>
      </c>
      <c r="N15">
        <f>MOD(M$2*M15+N$2,O$2)</f>
        <v>9.9257173983849</v>
      </c>
      <c r="O15">
        <f>N15/(O$2-1)</f>
        <v>0.114088705728562</v>
      </c>
    </row>
    <row r="16" spans="1:15">
      <c r="A16">
        <v>14</v>
      </c>
      <c r="B16">
        <f t="shared" si="5"/>
        <v>23.4127197265625</v>
      </c>
      <c r="C16">
        <f t="shared" si="6"/>
        <v>41.3572387695313</v>
      </c>
      <c r="D16">
        <f t="shared" si="0"/>
        <v>0.480898125227108</v>
      </c>
      <c r="I16">
        <f t="shared" si="1"/>
        <v>4.92359250090843</v>
      </c>
      <c r="J16">
        <f t="shared" si="2"/>
        <v>2.81154137085319</v>
      </c>
      <c r="K16">
        <f t="shared" si="3"/>
        <v>4.39259897504011</v>
      </c>
      <c r="M16">
        <f t="shared" si="4"/>
        <v>9.9257173983849</v>
      </c>
      <c r="N16">
        <f>MOD(M$2*M16+N$2,O$2)</f>
        <v>2.50230656917886</v>
      </c>
      <c r="O16">
        <f>N16/(O$2-1)</f>
        <v>0.0287621444733202</v>
      </c>
    </row>
    <row r="17" spans="1:15">
      <c r="A17">
        <v>15</v>
      </c>
      <c r="B17">
        <f t="shared" si="5"/>
        <v>41.3572387695313</v>
      </c>
      <c r="C17">
        <f t="shared" si="6"/>
        <v>35.1075744628906</v>
      </c>
      <c r="D17">
        <f t="shared" si="0"/>
        <v>0.408227610033612</v>
      </c>
      <c r="I17">
        <f t="shared" si="1"/>
        <v>4.63291044013445</v>
      </c>
      <c r="J17">
        <f t="shared" si="2"/>
        <v>2.97537193407872</v>
      </c>
      <c r="K17">
        <f t="shared" si="3"/>
        <v>5.37558235439333</v>
      </c>
      <c r="M17">
        <f t="shared" si="4"/>
        <v>2.50230656917886</v>
      </c>
      <c r="N17">
        <f>MOD(M$2*M17+N$2,O$2)</f>
        <v>40.7654540134983</v>
      </c>
      <c r="O17">
        <f>N17/(O$2-1)</f>
        <v>0.468568436936762</v>
      </c>
    </row>
    <row r="18" spans="1:11">
      <c r="A18">
        <v>16</v>
      </c>
      <c r="B18">
        <f t="shared" si="5"/>
        <v>35.1075744628906</v>
      </c>
      <c r="C18">
        <f t="shared" si="6"/>
        <v>6.98408508300781</v>
      </c>
      <c r="D18">
        <f t="shared" si="0"/>
        <v>0.0812102916628815</v>
      </c>
      <c r="I18">
        <f t="shared" si="1"/>
        <v>3.32484116665153</v>
      </c>
      <c r="J18">
        <f t="shared" si="2"/>
        <v>4.59015483690899</v>
      </c>
      <c r="K18">
        <f t="shared" si="3"/>
        <v>15.0642797713749</v>
      </c>
    </row>
    <row r="19" spans="1:11">
      <c r="A19">
        <v>17</v>
      </c>
      <c r="B19">
        <f t="shared" si="5"/>
        <v>6.98408508300781</v>
      </c>
      <c r="C19">
        <f t="shared" si="6"/>
        <v>54.4283828735352</v>
      </c>
      <c r="D19">
        <f t="shared" si="0"/>
        <v>0.632888172948083</v>
      </c>
      <c r="I19">
        <f t="shared" si="1"/>
        <v>5.53155269179233</v>
      </c>
      <c r="J19">
        <f t="shared" si="2"/>
        <v>2.53690307613371</v>
      </c>
      <c r="K19">
        <f t="shared" si="3"/>
        <v>2.74476920672327</v>
      </c>
    </row>
    <row r="20" spans="1:11">
      <c r="A20">
        <v>18</v>
      </c>
      <c r="B20">
        <f t="shared" si="5"/>
        <v>54.4283828735352</v>
      </c>
      <c r="C20">
        <f t="shared" si="6"/>
        <v>6.9277229309082</v>
      </c>
      <c r="D20">
        <f t="shared" si="0"/>
        <v>0.0805549178012582</v>
      </c>
      <c r="I20">
        <f t="shared" si="1"/>
        <v>3.32221967120503</v>
      </c>
      <c r="J20">
        <f t="shared" si="2"/>
        <v>4.59825766012476</v>
      </c>
      <c r="K20">
        <f t="shared" si="3"/>
        <v>15.1128967106695</v>
      </c>
    </row>
    <row r="21" spans="1:11">
      <c r="A21">
        <v>19</v>
      </c>
      <c r="B21">
        <f t="shared" si="5"/>
        <v>6.9277229309082</v>
      </c>
      <c r="C21">
        <f t="shared" si="6"/>
        <v>54.1747531890869</v>
      </c>
      <c r="D21">
        <f t="shared" si="0"/>
        <v>0.629938990570778</v>
      </c>
      <c r="I21">
        <f t="shared" si="1"/>
        <v>5.51975596228311</v>
      </c>
      <c r="J21">
        <f t="shared" si="2"/>
        <v>2.54157384632957</v>
      </c>
      <c r="K21">
        <f t="shared" si="3"/>
        <v>2.7727938278984</v>
      </c>
    </row>
    <row r="22" spans="1:11">
      <c r="A22">
        <v>20</v>
      </c>
      <c r="B22">
        <f t="shared" si="5"/>
        <v>54.1747531890869</v>
      </c>
      <c r="C22">
        <f t="shared" si="6"/>
        <v>5.78638935089111</v>
      </c>
      <c r="D22">
        <f t="shared" si="0"/>
        <v>0.067283597103385</v>
      </c>
      <c r="I22">
        <f t="shared" si="1"/>
        <v>3.26913438841354</v>
      </c>
      <c r="J22">
        <f t="shared" si="2"/>
        <v>4.77828034175071</v>
      </c>
      <c r="K22">
        <f t="shared" si="3"/>
        <v>16.1930328004252</v>
      </c>
    </row>
    <row r="23" spans="1:11">
      <c r="A23">
        <v>21</v>
      </c>
      <c r="B23">
        <f t="shared" si="5"/>
        <v>5.78638935089111</v>
      </c>
      <c r="C23">
        <f t="shared" si="6"/>
        <v>49.03875207901</v>
      </c>
      <c r="D23">
        <f t="shared" si="0"/>
        <v>0.570218047430349</v>
      </c>
      <c r="I23">
        <f t="shared" si="1"/>
        <v>5.2808721897214</v>
      </c>
      <c r="J23">
        <f t="shared" si="2"/>
        <v>2.64117799363141</v>
      </c>
      <c r="K23">
        <f t="shared" si="3"/>
        <v>3.37041871170945</v>
      </c>
    </row>
    <row r="24" spans="1:11">
      <c r="A24">
        <v>22</v>
      </c>
      <c r="B24">
        <f t="shared" si="5"/>
        <v>49.03875207901</v>
      </c>
      <c r="C24">
        <f t="shared" si="6"/>
        <v>69.674384355545</v>
      </c>
      <c r="D24">
        <f t="shared" si="0"/>
        <v>0.810167259948198</v>
      </c>
      <c r="I24">
        <f t="shared" si="1"/>
        <v>6.24066903979279</v>
      </c>
      <c r="J24">
        <f t="shared" si="2"/>
        <v>2.28995610054918</v>
      </c>
      <c r="K24">
        <f t="shared" si="3"/>
        <v>1.26308735321609</v>
      </c>
    </row>
    <row r="25" spans="1:11">
      <c r="A25">
        <v>23</v>
      </c>
      <c r="B25">
        <f t="shared" si="5"/>
        <v>69.674384355545</v>
      </c>
      <c r="C25">
        <f t="shared" si="6"/>
        <v>75.5347295999527</v>
      </c>
      <c r="D25">
        <f t="shared" si="0"/>
        <v>0.878310809301776</v>
      </c>
      <c r="I25">
        <f t="shared" si="1"/>
        <v>6.5132432372071</v>
      </c>
      <c r="J25">
        <f t="shared" si="2"/>
        <v>2.20919629274213</v>
      </c>
      <c r="K25">
        <f t="shared" si="3"/>
        <v>0.778528506373789</v>
      </c>
    </row>
    <row r="26" spans="1:11">
      <c r="A26">
        <v>24</v>
      </c>
      <c r="B26">
        <f t="shared" si="5"/>
        <v>75.5347295999527</v>
      </c>
      <c r="C26">
        <f t="shared" si="6"/>
        <v>14.9062831997871</v>
      </c>
      <c r="D26">
        <f t="shared" si="0"/>
        <v>0.17332887441613</v>
      </c>
      <c r="I26">
        <f t="shared" si="1"/>
        <v>3.69331549766452</v>
      </c>
      <c r="J26">
        <f t="shared" si="2"/>
        <v>3.83200602260782</v>
      </c>
      <c r="K26">
        <f t="shared" si="3"/>
        <v>10.5153868855679</v>
      </c>
    </row>
    <row r="27" spans="1:11">
      <c r="A27">
        <v>25</v>
      </c>
      <c r="B27">
        <f t="shared" si="5"/>
        <v>14.9062831997871</v>
      </c>
      <c r="C27">
        <f t="shared" si="6"/>
        <v>3.07827439904213</v>
      </c>
      <c r="D27">
        <f t="shared" si="0"/>
        <v>0.035793888360955</v>
      </c>
      <c r="I27">
        <f t="shared" si="1"/>
        <v>3.14317555344382</v>
      </c>
      <c r="J27">
        <f t="shared" si="2"/>
        <v>5.40941965800342</v>
      </c>
      <c r="K27">
        <f t="shared" si="3"/>
        <v>19.9798686979415</v>
      </c>
    </row>
    <row r="28" spans="1:11">
      <c r="A28">
        <v>26</v>
      </c>
      <c r="B28">
        <f t="shared" si="5"/>
        <v>3.07827439904213</v>
      </c>
      <c r="C28">
        <f t="shared" si="6"/>
        <v>36.8522347956896</v>
      </c>
      <c r="D28">
        <f t="shared" si="0"/>
        <v>0.428514358089414</v>
      </c>
      <c r="I28">
        <f t="shared" si="1"/>
        <v>4.71405743235765</v>
      </c>
      <c r="J28">
        <f t="shared" si="2"/>
        <v>2.92687257539225</v>
      </c>
      <c r="K28">
        <f t="shared" si="3"/>
        <v>5.08458620227447</v>
      </c>
    </row>
    <row r="29" spans="1:11">
      <c r="A29">
        <v>27</v>
      </c>
      <c r="B29">
        <f t="shared" si="5"/>
        <v>36.8522347956896</v>
      </c>
      <c r="C29">
        <f t="shared" si="6"/>
        <v>14.8350565806031</v>
      </c>
      <c r="D29">
        <f t="shared" si="0"/>
        <v>0.17250065791399</v>
      </c>
      <c r="I29">
        <f t="shared" si="1"/>
        <v>3.69000263165596</v>
      </c>
      <c r="J29">
        <f t="shared" si="2"/>
        <v>3.83679577020369</v>
      </c>
      <c r="K29">
        <f t="shared" si="3"/>
        <v>10.5441253711431</v>
      </c>
    </row>
    <row r="30" spans="1:11">
      <c r="A30">
        <v>28</v>
      </c>
      <c r="B30">
        <f t="shared" si="5"/>
        <v>14.8350565806031</v>
      </c>
      <c r="C30">
        <f t="shared" si="6"/>
        <v>2.75775461271405</v>
      </c>
      <c r="D30">
        <f t="shared" si="0"/>
        <v>0.0320669141013262</v>
      </c>
      <c r="I30">
        <f t="shared" si="1"/>
        <v>3.1282676564053</v>
      </c>
      <c r="J30">
        <f t="shared" si="2"/>
        <v>5.51937203543062</v>
      </c>
      <c r="K30">
        <f t="shared" si="3"/>
        <v>20.6395829625047</v>
      </c>
    </row>
    <row r="31" spans="1:11">
      <c r="A31">
        <v>29</v>
      </c>
      <c r="B31">
        <f t="shared" si="5"/>
        <v>2.75775461271405</v>
      </c>
      <c r="C31">
        <f t="shared" si="6"/>
        <v>35.4098957572132</v>
      </c>
      <c r="D31">
        <f t="shared" si="0"/>
        <v>0.411742973921084</v>
      </c>
      <c r="I31">
        <f t="shared" si="1"/>
        <v>4.64697189568434</v>
      </c>
      <c r="J31">
        <f t="shared" si="2"/>
        <v>2.96679751569375</v>
      </c>
      <c r="K31">
        <f t="shared" si="3"/>
        <v>5.32413584408349</v>
      </c>
    </row>
    <row r="32" spans="1:11">
      <c r="A32">
        <v>30</v>
      </c>
      <c r="B32">
        <f t="shared" si="5"/>
        <v>35.4098957572132</v>
      </c>
      <c r="C32">
        <f t="shared" si="6"/>
        <v>8.34453090745956</v>
      </c>
      <c r="D32">
        <f t="shared" si="0"/>
        <v>0.0970294291565065</v>
      </c>
      <c r="I32">
        <f t="shared" si="1"/>
        <v>3.38811771662603</v>
      </c>
      <c r="J32">
        <f t="shared" si="2"/>
        <v>4.412182494807</v>
      </c>
      <c r="K32">
        <f t="shared" si="3"/>
        <v>13.996445718763</v>
      </c>
    </row>
    <row r="33" spans="1:11">
      <c r="A33">
        <v>31</v>
      </c>
      <c r="B33">
        <f t="shared" si="5"/>
        <v>8.34453090745956</v>
      </c>
      <c r="C33">
        <f t="shared" si="6"/>
        <v>60.550389083568</v>
      </c>
      <c r="D33">
        <f t="shared" si="0"/>
        <v>0.704074291669395</v>
      </c>
      <c r="I33">
        <f t="shared" si="1"/>
        <v>5.81629716667758</v>
      </c>
      <c r="J33">
        <f t="shared" si="2"/>
        <v>2.43031294213213</v>
      </c>
      <c r="K33">
        <f t="shared" si="3"/>
        <v>2.10522840271376</v>
      </c>
    </row>
    <row r="34" spans="1:11">
      <c r="A34">
        <v>32</v>
      </c>
      <c r="B34">
        <f t="shared" si="5"/>
        <v>60.550389083568</v>
      </c>
      <c r="C34">
        <f t="shared" si="6"/>
        <v>34.476750876056</v>
      </c>
      <c r="D34">
        <f t="shared" si="0"/>
        <v>0.400892452047163</v>
      </c>
      <c r="I34">
        <f t="shared" si="1"/>
        <v>4.60356980818865</v>
      </c>
      <c r="J34">
        <f t="shared" si="2"/>
        <v>2.99350362871092</v>
      </c>
      <c r="K34">
        <f t="shared" si="3"/>
        <v>5.48437252218653</v>
      </c>
    </row>
    <row r="35" spans="1:11">
      <c r="A35">
        <v>33</v>
      </c>
      <c r="B35">
        <f t="shared" si="5"/>
        <v>34.476750876056</v>
      </c>
      <c r="C35">
        <f t="shared" si="6"/>
        <v>4.14537894225214</v>
      </c>
      <c r="D35">
        <f t="shared" si="0"/>
        <v>0.0482020807238621</v>
      </c>
      <c r="I35">
        <f t="shared" si="1"/>
        <v>3.19280832289545</v>
      </c>
      <c r="J35">
        <f t="shared" si="2"/>
        <v>5.1117946319923</v>
      </c>
      <c r="K35">
        <f t="shared" si="3"/>
        <v>18.1941185418748</v>
      </c>
    </row>
    <row r="36" spans="1:11">
      <c r="A36">
        <v>34</v>
      </c>
      <c r="B36">
        <f t="shared" si="5"/>
        <v>4.14537894225214</v>
      </c>
      <c r="C36">
        <f t="shared" si="6"/>
        <v>41.6542052401346</v>
      </c>
      <c r="D36">
        <f t="shared" ref="D36:D67" si="7">C36/(F$1-1)</f>
        <v>0.484351223722496</v>
      </c>
      <c r="I36">
        <f t="shared" ref="I36:I67" si="8">(7-3)*D36+3</f>
        <v>4.93740489488998</v>
      </c>
      <c r="J36">
        <f t="shared" ref="J36:J67" si="9">-(LN((D36)/8))</f>
        <v>2.80438650826754</v>
      </c>
      <c r="K36">
        <f t="shared" ref="K36:K67" si="10">-2*3*LN(D36)</f>
        <v>4.34966979952623</v>
      </c>
    </row>
    <row r="37" spans="1:11">
      <c r="A37">
        <v>35</v>
      </c>
      <c r="B37">
        <f t="shared" ref="B37:B68" si="11">C36</f>
        <v>41.6542052401346</v>
      </c>
      <c r="C37">
        <f t="shared" ref="C37:C68" si="12">MOD(B$1*B37+D$1,F$1)</f>
        <v>36.4439235806058</v>
      </c>
      <c r="D37">
        <f t="shared" si="7"/>
        <v>0.423766553262858</v>
      </c>
      <c r="I37">
        <f t="shared" si="8"/>
        <v>4.69506621305143</v>
      </c>
      <c r="J37">
        <f t="shared" si="9"/>
        <v>2.93801409898312</v>
      </c>
      <c r="K37">
        <f t="shared" si="10"/>
        <v>5.15143534381973</v>
      </c>
    </row>
    <row r="38" spans="1:11">
      <c r="A38">
        <v>36</v>
      </c>
      <c r="B38">
        <f t="shared" si="11"/>
        <v>36.4439235806058</v>
      </c>
      <c r="C38">
        <f t="shared" si="12"/>
        <v>12.997656112726</v>
      </c>
      <c r="D38">
        <f t="shared" si="7"/>
        <v>0.151135536194488</v>
      </c>
      <c r="I38">
        <f t="shared" si="8"/>
        <v>3.60454214477795</v>
      </c>
      <c r="J38">
        <f t="shared" si="9"/>
        <v>3.96901979574871</v>
      </c>
      <c r="K38">
        <f t="shared" si="10"/>
        <v>11.3374695244132</v>
      </c>
    </row>
    <row r="39" spans="1:11">
      <c r="A39">
        <v>37</v>
      </c>
      <c r="B39">
        <f t="shared" si="11"/>
        <v>12.997656112726</v>
      </c>
      <c r="C39">
        <f t="shared" si="12"/>
        <v>81.4894525072668</v>
      </c>
      <c r="D39">
        <f t="shared" si="7"/>
        <v>0.947551773340312</v>
      </c>
      <c r="I39">
        <f t="shared" si="8"/>
        <v>6.79020709336125</v>
      </c>
      <c r="J39">
        <f t="shared" si="9"/>
        <v>2.13331524315039</v>
      </c>
      <c r="K39">
        <f t="shared" si="10"/>
        <v>0.323242208823331</v>
      </c>
    </row>
    <row r="40" spans="1:11">
      <c r="A40">
        <v>38</v>
      </c>
      <c r="B40">
        <f t="shared" si="11"/>
        <v>81.4894525072668</v>
      </c>
      <c r="C40">
        <f t="shared" si="12"/>
        <v>41.7025362827007</v>
      </c>
      <c r="D40">
        <f t="shared" si="7"/>
        <v>0.484913212589544</v>
      </c>
      <c r="I40">
        <f t="shared" si="8"/>
        <v>4.93965285035817</v>
      </c>
      <c r="J40">
        <f t="shared" si="9"/>
        <v>2.80322688885106</v>
      </c>
      <c r="K40">
        <f t="shared" si="10"/>
        <v>4.34271208302736</v>
      </c>
    </row>
    <row r="41" spans="1:11">
      <c r="A41">
        <v>39</v>
      </c>
      <c r="B41">
        <f t="shared" si="11"/>
        <v>41.7025362827007</v>
      </c>
      <c r="C41">
        <f t="shared" si="12"/>
        <v>36.6614132721534</v>
      </c>
      <c r="D41">
        <f t="shared" si="7"/>
        <v>0.426295503164574</v>
      </c>
      <c r="I41">
        <f t="shared" si="8"/>
        <v>4.7051820126583</v>
      </c>
      <c r="J41">
        <f t="shared" si="9"/>
        <v>2.93206404546961</v>
      </c>
      <c r="K41">
        <f t="shared" si="10"/>
        <v>5.11573502273865</v>
      </c>
    </row>
    <row r="42" spans="1:11">
      <c r="A42">
        <v>40</v>
      </c>
      <c r="B42">
        <f t="shared" si="11"/>
        <v>36.6614132721534</v>
      </c>
      <c r="C42">
        <f t="shared" si="12"/>
        <v>13.9763597246902</v>
      </c>
      <c r="D42">
        <f t="shared" si="7"/>
        <v>0.162515810752211</v>
      </c>
      <c r="I42">
        <f t="shared" si="8"/>
        <v>3.65006324300884</v>
      </c>
      <c r="J42">
        <f t="shared" si="9"/>
        <v>3.89642152668854</v>
      </c>
      <c r="K42">
        <f t="shared" si="10"/>
        <v>10.9018799100522</v>
      </c>
    </row>
    <row r="43" spans="1:11">
      <c r="A43">
        <v>41</v>
      </c>
      <c r="B43">
        <f t="shared" si="11"/>
        <v>13.9763597246902</v>
      </c>
      <c r="C43">
        <f t="shared" si="12"/>
        <v>85.8936187611057</v>
      </c>
      <c r="D43">
        <f t="shared" si="7"/>
        <v>0.998763008850066</v>
      </c>
      <c r="I43">
        <f t="shared" si="8"/>
        <v>6.99505203540027</v>
      </c>
      <c r="J43">
        <f t="shared" si="9"/>
        <v>2.08067929853483</v>
      </c>
      <c r="K43">
        <f t="shared" si="10"/>
        <v>0.00742654112998958</v>
      </c>
    </row>
    <row r="44" spans="1:11">
      <c r="A44">
        <v>42</v>
      </c>
      <c r="B44">
        <f t="shared" si="11"/>
        <v>85.8936187611057</v>
      </c>
      <c r="C44">
        <f t="shared" si="12"/>
        <v>61.5212844249756</v>
      </c>
      <c r="D44">
        <f t="shared" si="7"/>
        <v>0.715363772383438</v>
      </c>
      <c r="I44">
        <f t="shared" si="8"/>
        <v>5.86145508953375</v>
      </c>
      <c r="J44">
        <f t="shared" si="9"/>
        <v>2.4144056347846</v>
      </c>
      <c r="K44">
        <f t="shared" si="10"/>
        <v>2.00978455862856</v>
      </c>
    </row>
    <row r="45" spans="1:11">
      <c r="A45">
        <v>43</v>
      </c>
      <c r="B45">
        <f t="shared" si="11"/>
        <v>61.5212844249756</v>
      </c>
      <c r="C45">
        <f t="shared" si="12"/>
        <v>38.8457799123904</v>
      </c>
      <c r="D45">
        <f t="shared" si="7"/>
        <v>0.451695115260354</v>
      </c>
      <c r="I45">
        <f t="shared" si="8"/>
        <v>4.80678046104141</v>
      </c>
      <c r="J45">
        <f t="shared" si="9"/>
        <v>2.87418939218352</v>
      </c>
      <c r="K45">
        <f t="shared" si="10"/>
        <v>4.76848710302213</v>
      </c>
    </row>
    <row r="46" spans="1:11">
      <c r="A46">
        <v>44</v>
      </c>
      <c r="B46">
        <f t="shared" si="11"/>
        <v>38.8457799123904</v>
      </c>
      <c r="C46">
        <f t="shared" si="12"/>
        <v>23.8060096057569</v>
      </c>
      <c r="D46">
        <f t="shared" si="7"/>
        <v>0.276814065183219</v>
      </c>
      <c r="I46">
        <f t="shared" si="8"/>
        <v>4.10725626073288</v>
      </c>
      <c r="J46">
        <f t="shared" si="9"/>
        <v>3.36385078468623</v>
      </c>
      <c r="K46">
        <f t="shared" si="10"/>
        <v>7.70645545803837</v>
      </c>
    </row>
    <row r="47" spans="1:11">
      <c r="A47">
        <v>45</v>
      </c>
      <c r="B47">
        <f t="shared" si="11"/>
        <v>23.8060096057569</v>
      </c>
      <c r="C47">
        <f t="shared" si="12"/>
        <v>43.1270432259059</v>
      </c>
      <c r="D47">
        <f t="shared" si="7"/>
        <v>0.501477246812859</v>
      </c>
      <c r="I47">
        <f t="shared" si="8"/>
        <v>5.00590898725144</v>
      </c>
      <c r="J47">
        <f t="shared" si="9"/>
        <v>2.76963858455274</v>
      </c>
      <c r="K47">
        <f t="shared" si="10"/>
        <v>4.1411822572374</v>
      </c>
    </row>
    <row r="48" spans="1:11">
      <c r="A48">
        <v>46</v>
      </c>
      <c r="B48">
        <f t="shared" si="11"/>
        <v>43.1270432259059</v>
      </c>
      <c r="C48">
        <f t="shared" si="12"/>
        <v>43.0716945165763</v>
      </c>
      <c r="D48">
        <f t="shared" si="7"/>
        <v>0.500833657169492</v>
      </c>
      <c r="I48">
        <f t="shared" si="8"/>
        <v>5.00333462867797</v>
      </c>
      <c r="J48">
        <f t="shared" si="9"/>
        <v>2.77092279632627</v>
      </c>
      <c r="K48">
        <f t="shared" si="10"/>
        <v>4.1488875278786</v>
      </c>
    </row>
    <row r="49" spans="1:11">
      <c r="A49">
        <v>47</v>
      </c>
      <c r="B49">
        <f t="shared" si="11"/>
        <v>43.0716945165763</v>
      </c>
      <c r="C49">
        <f t="shared" si="12"/>
        <v>42.8226253245934</v>
      </c>
      <c r="D49">
        <f t="shared" si="7"/>
        <v>0.497937503774342</v>
      </c>
      <c r="I49">
        <f t="shared" si="8"/>
        <v>4.99175001509737</v>
      </c>
      <c r="J49">
        <f t="shared" si="9"/>
        <v>2.77672224594144</v>
      </c>
      <c r="K49">
        <f t="shared" si="10"/>
        <v>4.18368422556961</v>
      </c>
    </row>
    <row r="50" spans="1:11">
      <c r="A50">
        <v>48</v>
      </c>
      <c r="B50">
        <f t="shared" si="11"/>
        <v>42.8226253245934</v>
      </c>
      <c r="C50">
        <f t="shared" si="12"/>
        <v>41.7018139606704</v>
      </c>
      <c r="D50">
        <f t="shared" si="7"/>
        <v>0.484904813496167</v>
      </c>
      <c r="I50">
        <f t="shared" si="8"/>
        <v>4.93961925398467</v>
      </c>
      <c r="J50">
        <f t="shared" si="9"/>
        <v>2.80324420981881</v>
      </c>
      <c r="K50">
        <f t="shared" si="10"/>
        <v>4.34281600883386</v>
      </c>
    </row>
    <row r="51" spans="1:11">
      <c r="A51">
        <v>49</v>
      </c>
      <c r="B51">
        <f t="shared" si="11"/>
        <v>41.7018139606704</v>
      </c>
      <c r="C51">
        <f t="shared" si="12"/>
        <v>36.6581628230168</v>
      </c>
      <c r="D51">
        <f t="shared" si="7"/>
        <v>0.426257707244381</v>
      </c>
      <c r="I51">
        <f t="shared" si="8"/>
        <v>4.70503082897752</v>
      </c>
      <c r="J51">
        <f t="shared" si="9"/>
        <v>2.93215271071597</v>
      </c>
      <c r="K51">
        <f t="shared" si="10"/>
        <v>5.11626701421681</v>
      </c>
    </row>
    <row r="52" spans="1:11">
      <c r="A52">
        <v>50</v>
      </c>
      <c r="B52">
        <f t="shared" si="11"/>
        <v>36.6581628230168</v>
      </c>
      <c r="C52">
        <f t="shared" si="12"/>
        <v>13.9617327035754</v>
      </c>
      <c r="D52">
        <f t="shared" si="7"/>
        <v>0.162345729111342</v>
      </c>
      <c r="I52">
        <f t="shared" si="8"/>
        <v>3.64938291644537</v>
      </c>
      <c r="J52">
        <f t="shared" si="9"/>
        <v>3.89746862913397</v>
      </c>
      <c r="K52">
        <f t="shared" si="10"/>
        <v>10.9081625247248</v>
      </c>
    </row>
    <row r="53" spans="1:11">
      <c r="A53">
        <v>51</v>
      </c>
      <c r="B53">
        <f t="shared" si="11"/>
        <v>13.9617327035754</v>
      </c>
      <c r="C53">
        <f t="shared" si="12"/>
        <v>85.8277971660895</v>
      </c>
      <c r="D53">
        <f t="shared" si="7"/>
        <v>0.997997641466157</v>
      </c>
      <c r="I53">
        <f t="shared" si="8"/>
        <v>6.99199056586463</v>
      </c>
      <c r="J53">
        <f t="shared" si="9"/>
        <v>2.08144590761366</v>
      </c>
      <c r="K53">
        <f t="shared" si="10"/>
        <v>0.0120261956029746</v>
      </c>
    </row>
    <row r="54" spans="1:11">
      <c r="A54">
        <v>52</v>
      </c>
      <c r="B54">
        <f t="shared" si="11"/>
        <v>85.8277971660895</v>
      </c>
      <c r="C54">
        <f t="shared" si="12"/>
        <v>61.2250872474029</v>
      </c>
      <c r="D54">
        <f t="shared" si="7"/>
        <v>0.711919619155847</v>
      </c>
      <c r="I54">
        <f t="shared" si="8"/>
        <v>5.84767847662339</v>
      </c>
      <c r="J54">
        <f t="shared" si="9"/>
        <v>2.41923181006709</v>
      </c>
      <c r="K54">
        <f t="shared" si="10"/>
        <v>2.03874161032352</v>
      </c>
    </row>
    <row r="55" spans="1:11">
      <c r="A55">
        <v>53</v>
      </c>
      <c r="B55">
        <f t="shared" si="11"/>
        <v>61.2250872474029</v>
      </c>
      <c r="C55">
        <f t="shared" si="12"/>
        <v>37.5128926133129</v>
      </c>
      <c r="D55">
        <f t="shared" si="7"/>
        <v>0.436196425736197</v>
      </c>
      <c r="I55">
        <f t="shared" si="8"/>
        <v>4.74478570294479</v>
      </c>
      <c r="J55">
        <f t="shared" si="9"/>
        <v>2.90910416102202</v>
      </c>
      <c r="K55">
        <f t="shared" si="10"/>
        <v>4.97797571605308</v>
      </c>
    </row>
    <row r="56" spans="1:11">
      <c r="A56">
        <v>54</v>
      </c>
      <c r="B56">
        <f t="shared" si="11"/>
        <v>37.5128926133129</v>
      </c>
      <c r="C56">
        <f t="shared" si="12"/>
        <v>17.8080167599082</v>
      </c>
      <c r="D56">
        <f t="shared" si="7"/>
        <v>0.207069962324514</v>
      </c>
      <c r="I56">
        <f t="shared" si="8"/>
        <v>3.82827984929806</v>
      </c>
      <c r="J56">
        <f t="shared" si="9"/>
        <v>3.6541401022557</v>
      </c>
      <c r="K56">
        <f t="shared" si="10"/>
        <v>9.44819136345522</v>
      </c>
    </row>
    <row r="57" spans="1:11">
      <c r="A57">
        <v>55</v>
      </c>
      <c r="B57">
        <f t="shared" si="11"/>
        <v>17.8080167599082</v>
      </c>
      <c r="C57">
        <f t="shared" si="12"/>
        <v>16.1360754195871</v>
      </c>
      <c r="D57">
        <f t="shared" si="7"/>
        <v>0.187628783948687</v>
      </c>
      <c r="I57">
        <f t="shared" si="8"/>
        <v>3.75051513579475</v>
      </c>
      <c r="J57">
        <f t="shared" si="9"/>
        <v>3.75273136329712</v>
      </c>
      <c r="K57">
        <f t="shared" si="10"/>
        <v>10.0397389297037</v>
      </c>
    </row>
    <row r="58" spans="1:11">
      <c r="A58">
        <v>56</v>
      </c>
      <c r="B58">
        <f t="shared" si="11"/>
        <v>16.1360754195871</v>
      </c>
      <c r="C58">
        <f t="shared" si="12"/>
        <v>8.61233938814189</v>
      </c>
      <c r="D58">
        <f t="shared" si="7"/>
        <v>0.100143481257464</v>
      </c>
      <c r="I58">
        <f t="shared" si="8"/>
        <v>3.40057392502986</v>
      </c>
      <c r="J58">
        <f t="shared" si="9"/>
        <v>4.38059285045925</v>
      </c>
      <c r="K58">
        <f t="shared" si="10"/>
        <v>13.8069078526765</v>
      </c>
    </row>
    <row r="59" spans="1:11">
      <c r="A59">
        <v>57</v>
      </c>
      <c r="B59">
        <f t="shared" si="11"/>
        <v>8.61233938814189</v>
      </c>
      <c r="C59">
        <f t="shared" si="12"/>
        <v>61.7555272466385</v>
      </c>
      <c r="D59">
        <f t="shared" si="7"/>
        <v>0.718087526123704</v>
      </c>
      <c r="I59">
        <f t="shared" si="8"/>
        <v>5.87235010449481</v>
      </c>
      <c r="J59">
        <f t="shared" si="9"/>
        <v>2.41060535636402</v>
      </c>
      <c r="K59">
        <f t="shared" si="10"/>
        <v>1.98698288810513</v>
      </c>
    </row>
    <row r="60" spans="1:11">
      <c r="A60">
        <v>58</v>
      </c>
      <c r="B60">
        <f t="shared" si="11"/>
        <v>61.7555272466385</v>
      </c>
      <c r="C60">
        <f t="shared" si="12"/>
        <v>39.8998726098733</v>
      </c>
      <c r="D60">
        <f t="shared" si="7"/>
        <v>0.46395200709155</v>
      </c>
      <c r="I60">
        <f t="shared" si="8"/>
        <v>4.8558080283662</v>
      </c>
      <c r="J60">
        <f t="shared" si="9"/>
        <v>2.84741570677763</v>
      </c>
      <c r="K60">
        <f t="shared" si="10"/>
        <v>4.60784499058675</v>
      </c>
    </row>
    <row r="61" spans="1:11">
      <c r="A61">
        <v>59</v>
      </c>
      <c r="B61">
        <f t="shared" si="11"/>
        <v>39.8998726098733</v>
      </c>
      <c r="C61">
        <f t="shared" si="12"/>
        <v>28.5494267444298</v>
      </c>
      <c r="D61">
        <f t="shared" si="7"/>
        <v>0.331970078423602</v>
      </c>
      <c r="I61">
        <f t="shared" si="8"/>
        <v>4.32788031369441</v>
      </c>
      <c r="J61">
        <f t="shared" si="9"/>
        <v>3.18215198103712</v>
      </c>
      <c r="K61">
        <f t="shared" si="10"/>
        <v>6.61626263614371</v>
      </c>
    </row>
    <row r="62" spans="1:11">
      <c r="A62">
        <v>60</v>
      </c>
      <c r="B62">
        <f t="shared" si="11"/>
        <v>28.5494267444298</v>
      </c>
      <c r="C62">
        <f t="shared" si="12"/>
        <v>64.472420349934</v>
      </c>
      <c r="D62">
        <f t="shared" si="7"/>
        <v>0.749679306394581</v>
      </c>
      <c r="I62">
        <f t="shared" si="8"/>
        <v>5.99871722557832</v>
      </c>
      <c r="J62">
        <f t="shared" si="9"/>
        <v>2.36755129704881</v>
      </c>
      <c r="K62">
        <f t="shared" si="10"/>
        <v>1.72865853221385</v>
      </c>
    </row>
    <row r="63" spans="1:11">
      <c r="A63">
        <v>61</v>
      </c>
      <c r="B63">
        <f t="shared" si="11"/>
        <v>64.472420349934</v>
      </c>
      <c r="C63">
        <f t="shared" si="12"/>
        <v>52.125891574703</v>
      </c>
      <c r="D63">
        <f t="shared" si="7"/>
        <v>0.6061150183105</v>
      </c>
      <c r="I63">
        <f t="shared" si="8"/>
        <v>5.424460073242</v>
      </c>
      <c r="J63">
        <f t="shared" si="9"/>
        <v>2.58012705341</v>
      </c>
      <c r="K63">
        <f t="shared" si="10"/>
        <v>3.004113070381</v>
      </c>
    </row>
    <row r="64" spans="1:11">
      <c r="A64">
        <v>62</v>
      </c>
      <c r="B64">
        <f t="shared" si="11"/>
        <v>52.125891574703</v>
      </c>
      <c r="C64">
        <f t="shared" si="12"/>
        <v>83.5665120861636</v>
      </c>
      <c r="D64">
        <f t="shared" si="7"/>
        <v>0.971703628908879</v>
      </c>
      <c r="I64">
        <f t="shared" si="8"/>
        <v>6.88681451563552</v>
      </c>
      <c r="J64">
        <f t="shared" si="9"/>
        <v>2.10814597122555</v>
      </c>
      <c r="K64">
        <f t="shared" si="10"/>
        <v>0.17222657727429</v>
      </c>
    </row>
    <row r="65" spans="1:11">
      <c r="A65">
        <v>63</v>
      </c>
      <c r="B65">
        <f t="shared" si="11"/>
        <v>83.5665120861636</v>
      </c>
      <c r="C65">
        <f t="shared" si="12"/>
        <v>51.0493043877361</v>
      </c>
      <c r="D65">
        <f t="shared" si="7"/>
        <v>0.593596562648095</v>
      </c>
      <c r="I65">
        <f t="shared" si="8"/>
        <v>5.37438625059238</v>
      </c>
      <c r="J65">
        <f t="shared" si="9"/>
        <v>2.60099691951274</v>
      </c>
      <c r="K65">
        <f t="shared" si="10"/>
        <v>3.12933226699743</v>
      </c>
    </row>
    <row r="66" spans="1:11">
      <c r="A66">
        <v>64</v>
      </c>
      <c r="B66">
        <f t="shared" si="11"/>
        <v>51.0493043877361</v>
      </c>
      <c r="C66">
        <f t="shared" si="12"/>
        <v>78.7218697448126</v>
      </c>
      <c r="D66">
        <f t="shared" si="7"/>
        <v>0.915370578428053</v>
      </c>
      <c r="I66">
        <f t="shared" si="8"/>
        <v>6.66148231371221</v>
      </c>
      <c r="J66">
        <f t="shared" si="9"/>
        <v>2.16786783363183</v>
      </c>
      <c r="K66">
        <f t="shared" si="10"/>
        <v>0.530557751711937</v>
      </c>
    </row>
    <row r="67" spans="1:11">
      <c r="A67">
        <v>65</v>
      </c>
      <c r="B67">
        <f t="shared" si="11"/>
        <v>78.7218697448126</v>
      </c>
      <c r="C67">
        <f t="shared" si="12"/>
        <v>29.2484138516566</v>
      </c>
      <c r="D67">
        <f t="shared" si="7"/>
        <v>0.340097835484379</v>
      </c>
      <c r="I67">
        <f t="shared" si="8"/>
        <v>4.36039134193752</v>
      </c>
      <c r="J67">
        <f t="shared" si="9"/>
        <v>3.15796349301962</v>
      </c>
      <c r="K67">
        <f t="shared" si="10"/>
        <v>6.47113170803872</v>
      </c>
    </row>
    <row r="68" spans="1:11">
      <c r="A68">
        <v>66</v>
      </c>
      <c r="B68">
        <f t="shared" si="11"/>
        <v>29.2484138516566</v>
      </c>
      <c r="C68">
        <f t="shared" si="12"/>
        <v>67.6178623324547</v>
      </c>
      <c r="D68">
        <f t="shared" ref="D68:D99" si="13">C68/(F$1-1)</f>
        <v>0.786254213168078</v>
      </c>
      <c r="I68">
        <f t="shared" ref="I68:I99" si="14">(7-3)*D68+3</f>
        <v>6.14501685267231</v>
      </c>
      <c r="J68">
        <f t="shared" ref="J68:J99" si="15">-(LN((D68)/8))</f>
        <v>2.31991665410133</v>
      </c>
      <c r="K68">
        <f t="shared" ref="K68:K99" si="16">-2*3*LN(D68)</f>
        <v>1.44285067452894</v>
      </c>
    </row>
    <row r="69" spans="1:11">
      <c r="A69">
        <v>67</v>
      </c>
      <c r="B69">
        <f t="shared" ref="B69:B100" si="17">C68</f>
        <v>67.6178623324547</v>
      </c>
      <c r="C69">
        <f t="shared" ref="C69:C100" si="18">MOD(B$1*B69+D$1,F$1)</f>
        <v>66.2803804960463</v>
      </c>
      <c r="D69">
        <f t="shared" si="13"/>
        <v>0.770702098791236</v>
      </c>
      <c r="I69">
        <f t="shared" si="14"/>
        <v>6.08280839516494</v>
      </c>
      <c r="J69">
        <f t="shared" si="15"/>
        <v>2.33989490465449</v>
      </c>
      <c r="K69">
        <f t="shared" si="16"/>
        <v>1.56272017784793</v>
      </c>
    </row>
    <row r="70" spans="1:11">
      <c r="A70">
        <v>68</v>
      </c>
      <c r="B70">
        <f t="shared" si="17"/>
        <v>66.2803804960463</v>
      </c>
      <c r="C70">
        <f t="shared" si="18"/>
        <v>60.2617122322083</v>
      </c>
      <c r="D70">
        <f t="shared" si="13"/>
        <v>0.700717584095445</v>
      </c>
      <c r="I70">
        <f t="shared" si="14"/>
        <v>5.80287033638178</v>
      </c>
      <c r="J70">
        <f t="shared" si="15"/>
        <v>2.43509189055905</v>
      </c>
      <c r="K70">
        <f t="shared" si="16"/>
        <v>2.13390209327529</v>
      </c>
    </row>
    <row r="71" spans="1:11">
      <c r="A71">
        <v>69</v>
      </c>
      <c r="B71">
        <f t="shared" si="17"/>
        <v>60.2617122322083</v>
      </c>
      <c r="C71">
        <f t="shared" si="18"/>
        <v>33.1777050449374</v>
      </c>
      <c r="D71">
        <f t="shared" si="13"/>
        <v>0.385787267964388</v>
      </c>
      <c r="I71">
        <f t="shared" si="14"/>
        <v>4.54314907185755</v>
      </c>
      <c r="J71">
        <f t="shared" si="15"/>
        <v>3.03191072238243</v>
      </c>
      <c r="K71">
        <f t="shared" si="16"/>
        <v>5.71481508421554</v>
      </c>
    </row>
    <row r="72" spans="1:11">
      <c r="A72">
        <v>70</v>
      </c>
      <c r="B72">
        <f t="shared" si="17"/>
        <v>33.1777050449374</v>
      </c>
      <c r="C72">
        <f t="shared" si="18"/>
        <v>85.2996727022183</v>
      </c>
      <c r="D72">
        <f t="shared" si="13"/>
        <v>0.99185665932812</v>
      </c>
      <c r="I72">
        <f t="shared" si="14"/>
        <v>6.96742663731248</v>
      </c>
      <c r="J72">
        <f t="shared" si="15"/>
        <v>2.08761822046279</v>
      </c>
      <c r="K72">
        <f t="shared" si="16"/>
        <v>0.0490600726977057</v>
      </c>
    </row>
    <row r="73" spans="1:11">
      <c r="A73">
        <v>71</v>
      </c>
      <c r="B73">
        <f t="shared" si="17"/>
        <v>85.2996727022183</v>
      </c>
      <c r="C73">
        <f t="shared" si="18"/>
        <v>58.8485271599823</v>
      </c>
      <c r="D73">
        <f t="shared" si="13"/>
        <v>0.684285199534678</v>
      </c>
      <c r="I73">
        <f t="shared" si="14"/>
        <v>5.73714079813871</v>
      </c>
      <c r="J73">
        <f t="shared" si="15"/>
        <v>2.45882203155838</v>
      </c>
      <c r="K73">
        <f t="shared" si="16"/>
        <v>2.27628293927128</v>
      </c>
    </row>
    <row r="74" spans="1:11">
      <c r="A74">
        <v>72</v>
      </c>
      <c r="B74">
        <f t="shared" si="17"/>
        <v>58.8485271599823</v>
      </c>
      <c r="C74">
        <f t="shared" si="18"/>
        <v>26.8183722199202</v>
      </c>
      <c r="D74">
        <f t="shared" si="13"/>
        <v>0.311841537440933</v>
      </c>
      <c r="I74">
        <f t="shared" si="14"/>
        <v>4.24736614976373</v>
      </c>
      <c r="J74">
        <f t="shared" si="15"/>
        <v>3.24470165469126</v>
      </c>
      <c r="K74">
        <f t="shared" si="16"/>
        <v>6.99156067806854</v>
      </c>
    </row>
    <row r="75" spans="1:11">
      <c r="A75">
        <v>73</v>
      </c>
      <c r="B75">
        <f t="shared" si="17"/>
        <v>26.8183722199202</v>
      </c>
      <c r="C75">
        <f t="shared" si="18"/>
        <v>56.6826749896409</v>
      </c>
      <c r="D75">
        <f t="shared" si="13"/>
        <v>0.659100871972569</v>
      </c>
      <c r="I75">
        <f t="shared" si="14"/>
        <v>5.63640348789028</v>
      </c>
      <c r="J75">
        <f t="shared" si="15"/>
        <v>2.49632022962956</v>
      </c>
      <c r="K75">
        <f t="shared" si="16"/>
        <v>2.50127212769834</v>
      </c>
    </row>
    <row r="76" spans="1:11">
      <c r="A76">
        <v>74</v>
      </c>
      <c r="B76">
        <f t="shared" si="17"/>
        <v>56.6826749896409</v>
      </c>
      <c r="C76">
        <f t="shared" si="18"/>
        <v>17.0720374533842</v>
      </c>
      <c r="D76">
        <f t="shared" si="13"/>
        <v>0.198512063411444</v>
      </c>
      <c r="I76">
        <f t="shared" si="14"/>
        <v>3.79404825364577</v>
      </c>
      <c r="J76">
        <f t="shared" si="15"/>
        <v>3.6963469495277</v>
      </c>
      <c r="K76">
        <f t="shared" si="16"/>
        <v>9.7014324470872</v>
      </c>
    </row>
    <row r="77" spans="1:11">
      <c r="A77">
        <v>75</v>
      </c>
      <c r="B77">
        <f t="shared" si="17"/>
        <v>17.0720374533842</v>
      </c>
      <c r="C77">
        <f t="shared" si="18"/>
        <v>12.8241685402287</v>
      </c>
      <c r="D77">
        <f t="shared" si="13"/>
        <v>0.149118238839869</v>
      </c>
      <c r="I77">
        <f t="shared" si="14"/>
        <v>3.59647295535947</v>
      </c>
      <c r="J77">
        <f t="shared" si="15"/>
        <v>3.98245728014939</v>
      </c>
      <c r="K77">
        <f t="shared" si="16"/>
        <v>11.4180944308173</v>
      </c>
    </row>
    <row r="78" spans="1:11">
      <c r="A78">
        <v>76</v>
      </c>
      <c r="B78">
        <f t="shared" si="17"/>
        <v>12.8241685402287</v>
      </c>
      <c r="C78">
        <f t="shared" si="18"/>
        <v>80.7087584310291</v>
      </c>
      <c r="D78">
        <f t="shared" si="13"/>
        <v>0.938473935244525</v>
      </c>
      <c r="I78">
        <f t="shared" si="14"/>
        <v>6.7538957409781</v>
      </c>
      <c r="J78">
        <f t="shared" si="15"/>
        <v>2.14294173780262</v>
      </c>
      <c r="K78">
        <f t="shared" si="16"/>
        <v>0.381001176736706</v>
      </c>
    </row>
    <row r="79" spans="1:11">
      <c r="A79">
        <v>77</v>
      </c>
      <c r="B79">
        <f t="shared" si="17"/>
        <v>80.7087584310291</v>
      </c>
      <c r="C79">
        <f t="shared" si="18"/>
        <v>38.1894129396311</v>
      </c>
      <c r="D79">
        <f t="shared" si="13"/>
        <v>0.444062941158501</v>
      </c>
      <c r="I79">
        <f t="shared" si="14"/>
        <v>4.776251764634</v>
      </c>
      <c r="J79">
        <f t="shared" si="15"/>
        <v>2.89123050891066</v>
      </c>
      <c r="K79">
        <f t="shared" si="16"/>
        <v>4.87073380338497</v>
      </c>
    </row>
    <row r="80" spans="1:11">
      <c r="A80">
        <v>78</v>
      </c>
      <c r="B80">
        <f t="shared" si="17"/>
        <v>38.1894129396311</v>
      </c>
      <c r="C80">
        <f t="shared" si="18"/>
        <v>20.8523582283399</v>
      </c>
      <c r="D80">
        <f t="shared" si="13"/>
        <v>0.242469281724883</v>
      </c>
      <c r="I80">
        <f t="shared" si="14"/>
        <v>3.96987712689953</v>
      </c>
      <c r="J80">
        <f t="shared" si="15"/>
        <v>3.49632179160763</v>
      </c>
      <c r="K80">
        <f t="shared" si="16"/>
        <v>8.50128149956674</v>
      </c>
    </row>
    <row r="81" spans="1:11">
      <c r="A81">
        <v>79</v>
      </c>
      <c r="B81">
        <f t="shared" si="17"/>
        <v>20.8523582283399</v>
      </c>
      <c r="C81">
        <f t="shared" si="18"/>
        <v>29.8356120275297</v>
      </c>
      <c r="D81">
        <f t="shared" si="13"/>
        <v>0.346925721250346</v>
      </c>
      <c r="I81">
        <f t="shared" si="14"/>
        <v>4.38770288500138</v>
      </c>
      <c r="J81">
        <f t="shared" si="15"/>
        <v>3.13808612342646</v>
      </c>
      <c r="K81">
        <f t="shared" si="16"/>
        <v>6.35186749047973</v>
      </c>
    </row>
    <row r="82" spans="1:11">
      <c r="A82">
        <v>80</v>
      </c>
      <c r="B82">
        <f t="shared" si="17"/>
        <v>29.8356120275297</v>
      </c>
      <c r="C82">
        <f t="shared" si="18"/>
        <v>70.2602541238837</v>
      </c>
      <c r="D82">
        <f t="shared" si="13"/>
        <v>0.816979699114927</v>
      </c>
      <c r="I82">
        <f t="shared" si="14"/>
        <v>6.26791879645971</v>
      </c>
      <c r="J82">
        <f t="shared" si="15"/>
        <v>2.28158257419523</v>
      </c>
      <c r="K82">
        <f t="shared" si="16"/>
        <v>1.21284619509239</v>
      </c>
    </row>
    <row r="83" spans="1:11">
      <c r="A83">
        <v>81</v>
      </c>
      <c r="B83">
        <f t="shared" si="17"/>
        <v>70.2602541238837</v>
      </c>
      <c r="C83">
        <f t="shared" si="18"/>
        <v>78.1711435574767</v>
      </c>
      <c r="D83">
        <f t="shared" si="13"/>
        <v>0.908966785552055</v>
      </c>
      <c r="I83">
        <f t="shared" si="14"/>
        <v>6.63586714220822</v>
      </c>
      <c r="J83">
        <f t="shared" si="15"/>
        <v>2.17488826669877</v>
      </c>
      <c r="K83">
        <f t="shared" si="16"/>
        <v>0.572680350113627</v>
      </c>
    </row>
    <row r="84" spans="1:11">
      <c r="A84">
        <v>82</v>
      </c>
      <c r="B84">
        <f t="shared" si="17"/>
        <v>78.1711435574767</v>
      </c>
      <c r="C84">
        <f t="shared" si="18"/>
        <v>26.7701460086453</v>
      </c>
      <c r="D84">
        <f t="shared" si="13"/>
        <v>0.311280767542388</v>
      </c>
      <c r="I84">
        <f t="shared" si="14"/>
        <v>4.24512307016955</v>
      </c>
      <c r="J84">
        <f t="shared" si="15"/>
        <v>3.24650152622674</v>
      </c>
      <c r="K84">
        <f t="shared" si="16"/>
        <v>7.00235990728142</v>
      </c>
    </row>
    <row r="85" spans="1:11">
      <c r="A85">
        <v>83</v>
      </c>
      <c r="B85">
        <f t="shared" si="17"/>
        <v>26.7701460086453</v>
      </c>
      <c r="C85">
        <f t="shared" si="18"/>
        <v>56.465657038904</v>
      </c>
      <c r="D85">
        <f t="shared" si="13"/>
        <v>0.656577407429116</v>
      </c>
      <c r="I85">
        <f t="shared" si="14"/>
        <v>5.62630962971646</v>
      </c>
      <c r="J85">
        <f t="shared" si="15"/>
        <v>2.50015622460999</v>
      </c>
      <c r="K85">
        <f t="shared" si="16"/>
        <v>2.5242880975809</v>
      </c>
    </row>
    <row r="86" spans="1:11">
      <c r="A86">
        <v>84</v>
      </c>
      <c r="B86">
        <f t="shared" si="17"/>
        <v>56.465657038904</v>
      </c>
      <c r="C86">
        <f t="shared" si="18"/>
        <v>16.0954566750679</v>
      </c>
      <c r="D86">
        <f t="shared" si="13"/>
        <v>0.187156472965905</v>
      </c>
      <c r="I86">
        <f t="shared" si="14"/>
        <v>3.74862589186362</v>
      </c>
      <c r="J86">
        <f t="shared" si="15"/>
        <v>3.75525179986234</v>
      </c>
      <c r="K86">
        <f t="shared" si="16"/>
        <v>10.054861549095</v>
      </c>
    </row>
    <row r="87" spans="1:11">
      <c r="A87">
        <v>85</v>
      </c>
      <c r="B87">
        <f t="shared" si="17"/>
        <v>16.0954566750679</v>
      </c>
      <c r="C87">
        <f t="shared" si="18"/>
        <v>8.42955503780533</v>
      </c>
      <c r="D87">
        <f t="shared" si="13"/>
        <v>0.0980180818349457</v>
      </c>
      <c r="I87">
        <f t="shared" si="14"/>
        <v>3.39207232733978</v>
      </c>
      <c r="J87">
        <f t="shared" si="15"/>
        <v>4.40204485049115</v>
      </c>
      <c r="K87">
        <f t="shared" si="16"/>
        <v>13.9356198528679</v>
      </c>
    </row>
    <row r="88" spans="1:11">
      <c r="A88">
        <v>86</v>
      </c>
      <c r="B88">
        <f t="shared" si="17"/>
        <v>8.42955503780533</v>
      </c>
      <c r="C88">
        <f t="shared" si="18"/>
        <v>60.932997670124</v>
      </c>
      <c r="D88">
        <f t="shared" si="13"/>
        <v>0.708523228722372</v>
      </c>
      <c r="I88">
        <f t="shared" si="14"/>
        <v>5.83409291488949</v>
      </c>
      <c r="J88">
        <f t="shared" si="15"/>
        <v>2.42401397629257</v>
      </c>
      <c r="K88">
        <f t="shared" si="16"/>
        <v>2.06743460767642</v>
      </c>
    </row>
    <row r="89" spans="1:11">
      <c r="A89">
        <v>87</v>
      </c>
      <c r="B89">
        <f t="shared" si="17"/>
        <v>60.932997670124</v>
      </c>
      <c r="C89">
        <f t="shared" si="18"/>
        <v>36.1984895155579</v>
      </c>
      <c r="D89">
        <f t="shared" si="13"/>
        <v>0.420912668785557</v>
      </c>
      <c r="I89">
        <f t="shared" si="14"/>
        <v>4.68365067514223</v>
      </c>
      <c r="J89">
        <f t="shared" si="15"/>
        <v>2.94477144606174</v>
      </c>
      <c r="K89">
        <f t="shared" si="16"/>
        <v>5.1919794262914</v>
      </c>
    </row>
    <row r="90" spans="1:11">
      <c r="A90">
        <v>88</v>
      </c>
      <c r="B90">
        <f t="shared" si="17"/>
        <v>36.1984895155579</v>
      </c>
      <c r="C90">
        <f t="shared" si="18"/>
        <v>11.8932028200107</v>
      </c>
      <c r="D90">
        <f t="shared" si="13"/>
        <v>0.138293056046636</v>
      </c>
      <c r="I90">
        <f t="shared" si="14"/>
        <v>3.55317222418654</v>
      </c>
      <c r="J90">
        <f t="shared" si="15"/>
        <v>4.05782179260367</v>
      </c>
      <c r="K90">
        <f t="shared" si="16"/>
        <v>11.870281505543</v>
      </c>
    </row>
    <row r="91" spans="1:11">
      <c r="A91">
        <v>89</v>
      </c>
      <c r="B91">
        <f t="shared" si="17"/>
        <v>11.8932028200107</v>
      </c>
      <c r="C91">
        <f t="shared" si="18"/>
        <v>76.519412690048</v>
      </c>
      <c r="D91">
        <f t="shared" si="13"/>
        <v>0.889760612674976</v>
      </c>
      <c r="I91">
        <f t="shared" si="14"/>
        <v>6.55904245069991</v>
      </c>
      <c r="J91">
        <f t="shared" si="15"/>
        <v>2.19624436863842</v>
      </c>
      <c r="K91">
        <f t="shared" si="16"/>
        <v>0.700816961751509</v>
      </c>
    </row>
    <row r="92" spans="1:11">
      <c r="A92">
        <v>90</v>
      </c>
      <c r="B92">
        <f t="shared" si="17"/>
        <v>76.519412690048</v>
      </c>
      <c r="C92">
        <f t="shared" si="18"/>
        <v>19.3373571052158</v>
      </c>
      <c r="D92">
        <f t="shared" si="13"/>
        <v>0.224852989595533</v>
      </c>
      <c r="I92">
        <f t="shared" si="14"/>
        <v>3.89941195838213</v>
      </c>
      <c r="J92">
        <f t="shared" si="15"/>
        <v>3.57175001157842</v>
      </c>
      <c r="K92">
        <f t="shared" si="16"/>
        <v>8.95385081939151</v>
      </c>
    </row>
    <row r="93" spans="1:11">
      <c r="A93">
        <v>91</v>
      </c>
      <c r="B93">
        <f t="shared" si="17"/>
        <v>19.3373571052158</v>
      </c>
      <c r="C93">
        <f t="shared" si="18"/>
        <v>23.0181069734711</v>
      </c>
      <c r="D93">
        <f t="shared" si="13"/>
        <v>0.267652406668269</v>
      </c>
      <c r="I93">
        <f t="shared" si="14"/>
        <v>4.07060962667307</v>
      </c>
      <c r="J93">
        <f t="shared" si="15"/>
        <v>3.39750767201444</v>
      </c>
      <c r="K93">
        <f t="shared" si="16"/>
        <v>7.90839678200764</v>
      </c>
    </row>
    <row r="94" spans="1:11">
      <c r="A94">
        <v>92</v>
      </c>
      <c r="B94">
        <f t="shared" si="17"/>
        <v>23.0181069734711</v>
      </c>
      <c r="C94">
        <f t="shared" si="18"/>
        <v>39.58148138062</v>
      </c>
      <c r="D94">
        <f t="shared" si="13"/>
        <v>0.460249783495581</v>
      </c>
      <c r="I94">
        <f t="shared" si="14"/>
        <v>4.84099913398232</v>
      </c>
      <c r="J94">
        <f t="shared" si="15"/>
        <v>2.85542747095502</v>
      </c>
      <c r="K94">
        <f t="shared" si="16"/>
        <v>4.65591557565111</v>
      </c>
    </row>
    <row r="95" spans="1:11">
      <c r="A95">
        <v>93</v>
      </c>
      <c r="B95">
        <f t="shared" si="17"/>
        <v>39.58148138062</v>
      </c>
      <c r="C95">
        <f t="shared" si="18"/>
        <v>27.1166662127899</v>
      </c>
      <c r="D95">
        <f t="shared" si="13"/>
        <v>0.315310072241743</v>
      </c>
      <c r="I95">
        <f t="shared" si="14"/>
        <v>4.26124028896697</v>
      </c>
      <c r="J95">
        <f t="shared" si="15"/>
        <v>3.23364030967433</v>
      </c>
      <c r="K95">
        <f t="shared" si="16"/>
        <v>6.92519260796699</v>
      </c>
    </row>
    <row r="96" spans="1:11">
      <c r="A96">
        <v>94</v>
      </c>
      <c r="B96">
        <f t="shared" si="17"/>
        <v>27.1166662127899</v>
      </c>
      <c r="C96">
        <f t="shared" si="18"/>
        <v>58.0249979575545</v>
      </c>
      <c r="D96">
        <f t="shared" si="13"/>
        <v>0.674709278576215</v>
      </c>
      <c r="I96">
        <f t="shared" si="14"/>
        <v>5.69883711430486</v>
      </c>
      <c r="J96">
        <f t="shared" si="15"/>
        <v>2.47291492097225</v>
      </c>
      <c r="K96">
        <f t="shared" si="16"/>
        <v>2.36084027575448</v>
      </c>
    </row>
    <row r="97" spans="1:11">
      <c r="A97">
        <v>95</v>
      </c>
      <c r="B97">
        <f t="shared" si="17"/>
        <v>58.0249979575545</v>
      </c>
      <c r="C97">
        <f t="shared" si="18"/>
        <v>23.1124908089951</v>
      </c>
      <c r="D97">
        <f t="shared" si="13"/>
        <v>0.26874989312785</v>
      </c>
      <c r="I97">
        <f t="shared" si="14"/>
        <v>4.0749995725114</v>
      </c>
      <c r="J97">
        <f t="shared" si="15"/>
        <v>3.39341563888399</v>
      </c>
      <c r="K97">
        <f t="shared" si="16"/>
        <v>7.88384458322495</v>
      </c>
    </row>
    <row r="98" spans="1:11">
      <c r="A98">
        <v>96</v>
      </c>
      <c r="B98">
        <f t="shared" si="17"/>
        <v>23.1124908089951</v>
      </c>
      <c r="C98">
        <f t="shared" si="18"/>
        <v>40.0062086404778</v>
      </c>
      <c r="D98">
        <f t="shared" si="13"/>
        <v>0.465188472563695</v>
      </c>
      <c r="I98">
        <f t="shared" si="14"/>
        <v>4.86075389025478</v>
      </c>
      <c r="J98">
        <f t="shared" si="15"/>
        <v>2.84475417985222</v>
      </c>
      <c r="K98">
        <f t="shared" si="16"/>
        <v>4.59187582903431</v>
      </c>
    </row>
    <row r="99" spans="1:11">
      <c r="A99">
        <v>97</v>
      </c>
      <c r="B99">
        <f t="shared" si="17"/>
        <v>40.0062086404778</v>
      </c>
      <c r="C99">
        <f t="shared" si="18"/>
        <v>29.02793888215</v>
      </c>
      <c r="D99">
        <f t="shared" si="13"/>
        <v>0.337534173048256</v>
      </c>
      <c r="I99">
        <f t="shared" si="14"/>
        <v>4.35013669219302</v>
      </c>
      <c r="J99">
        <f t="shared" si="15"/>
        <v>3.16553006199886</v>
      </c>
      <c r="K99">
        <f t="shared" si="16"/>
        <v>6.51653112191415</v>
      </c>
    </row>
    <row r="100" spans="1:11">
      <c r="A100">
        <v>98</v>
      </c>
      <c r="B100">
        <f t="shared" si="17"/>
        <v>29.02793888215</v>
      </c>
      <c r="C100">
        <f t="shared" si="18"/>
        <v>66.625724969675</v>
      </c>
      <c r="D100">
        <f>C100/(F$1-1)</f>
        <v>0.774717732205524</v>
      </c>
      <c r="I100">
        <f>(7-3)*D100+3</f>
        <v>6.09887092882209</v>
      </c>
      <c r="J100">
        <f>-(LN((D100)/8))</f>
        <v>2.33469807416057</v>
      </c>
      <c r="K100">
        <f>-2*3*LN(D100)</f>
        <v>1.5315391948844</v>
      </c>
    </row>
    <row r="101" spans="1:11">
      <c r="A101">
        <v>99</v>
      </c>
      <c r="B101">
        <f>C100</f>
        <v>66.625724969675</v>
      </c>
      <c r="C101">
        <f>MOD(B$1*B101+D$1,F$1)</f>
        <v>61.8157623635377</v>
      </c>
      <c r="D101">
        <f>C101/(F$1-1)</f>
        <v>0.718787934459741</v>
      </c>
      <c r="I101">
        <f>(7-3)*D101+3</f>
        <v>5.87515173783896</v>
      </c>
      <c r="J101">
        <f>-(LN((D101)/8))</f>
        <v>2.40963045156437</v>
      </c>
      <c r="K101">
        <f>-2*3*LN(D101)</f>
        <v>1.98113345930722</v>
      </c>
    </row>
    <row r="102" spans="1:11">
      <c r="A102">
        <v>100</v>
      </c>
      <c r="B102">
        <f>C101</f>
        <v>61.8157623635377</v>
      </c>
      <c r="C102">
        <f>MOD(B$1*B102+D$1,F$1)</f>
        <v>40.1709306359197</v>
      </c>
      <c r="D102">
        <f>C102/(F$1-1)</f>
        <v>0.467103844603718</v>
      </c>
      <c r="I102">
        <f>(7-3)*D102+3</f>
        <v>4.86841537841487</v>
      </c>
      <c r="J102">
        <f>-(LN((D102)/8))</f>
        <v>2.84064522239413</v>
      </c>
      <c r="K102">
        <f>-2*3*LN(D102)</f>
        <v>4.56722208428574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mm500</dc:creator>
  <cp:lastModifiedBy>mm500</cp:lastModifiedBy>
  <dcterms:created xsi:type="dcterms:W3CDTF">2025-10-05T08:26:46Z</dcterms:created>
  <dcterms:modified xsi:type="dcterms:W3CDTF">2025-10-05T09:38:16Z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53F7590A38CC46158E3905E1A3B30F3D_11</vt:lpwstr>
  </property>
  <property fmtid="{D5CDD505-2E9C-101B-9397-08002B2CF9AE}" pid="3" name="KSOProductBuildVer">
    <vt:lpwstr>1049-12.2.0.22549</vt:lpwstr>
  </property>
</Properties>
</file>